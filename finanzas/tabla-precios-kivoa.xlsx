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por país" sheetId="1" state="visible" r:id="rId1"/>
    <sheet name="Cómo leer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0.0000"/>
    <numFmt numFmtId="166" formatCode="#,##0.00 €;[Red](#,##0.00 €);-"/>
    <numFmt numFmtId="167" formatCode="[$$-409]#,##0.00;[Red]([$$-409]#,##0.0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3F5147"/>
      </patternFill>
    </fill>
    <fill>
      <patternFill patternType="solid">
        <fgColor rgb="00E9E4DA"/>
      </patternFill>
    </fill>
    <fill>
      <patternFill patternType="solid">
        <fgColor rgb="00DDEBD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164" fontId="5" fillId="2" borderId="1" pivotButton="0" quotePrefix="0" xfId="0"/>
    <xf numFmtId="0" fontId="2" fillId="0" borderId="0" pivotButton="0" quotePrefix="0" xfId="0"/>
    <xf numFmtId="165" fontId="5" fillId="2" borderId="1" pivotButton="0" quotePrefix="0" xfId="0"/>
    <xf numFmtId="166" fontId="5" fillId="2" borderId="1" pivotButton="0" quotePrefix="0" xfId="0"/>
    <xf numFmtId="0" fontId="6" fillId="3" borderId="1" applyAlignment="1" pivotButton="0" quotePrefix="0" xfId="0">
      <alignment vertical="center" wrapText="1"/>
    </xf>
    <xf numFmtId="0" fontId="3" fillId="4" borderId="0" pivotButton="0" quotePrefix="0" xfId="0"/>
    <xf numFmtId="0" fontId="0" fillId="4" borderId="0" pivotButton="0" quotePrefix="0" xfId="0"/>
    <xf numFmtId="0" fontId="2" fillId="4" borderId="0" applyAlignment="1" pivotButton="0" quotePrefix="0" xfId="0">
      <alignment wrapText="1"/>
    </xf>
    <xf numFmtId="166" fontId="4" fillId="0" borderId="1" pivotButton="0" quotePrefix="0" xfId="0"/>
    <xf numFmtId="166" fontId="3" fillId="5" borderId="1" pivotButton="0" quotePrefix="0" xfId="0"/>
    <xf numFmtId="164" fontId="4" fillId="0" borderId="1" pivotButton="0" quotePrefix="0" xfId="0"/>
    <xf numFmtId="167" fontId="3" fillId="5" borderId="1" pivotButton="0" quotePrefix="0" xfId="0"/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4" customWidth="1" min="3" max="3"/>
    <col width="11" customWidth="1" min="4" max="4"/>
    <col width="11" customWidth="1" min="5" max="5"/>
    <col width="15" customWidth="1" min="6" max="6"/>
    <col width="9" customWidth="1" min="7" max="7"/>
    <col width="12" customWidth="1" min="8" max="8"/>
    <col width="10" customWidth="1" min="9" max="9"/>
    <col width="12" customWidth="1" min="10" max="10"/>
    <col width="11" customWidth="1" min="11" max="11"/>
    <col width="12" customWidth="1" min="12" max="12"/>
    <col width="13" customWidth="1" min="13" max="13"/>
    <col width="10" customWidth="1" min="14" max="14"/>
    <col width="13" customWidth="1" min="15" max="15"/>
    <col width="10" customWidth="1" min="16" max="16"/>
    <col width="14" customWidth="1" min="17" max="17"/>
    <col width="14" customWidth="1" min="18" max="18"/>
    <col width="14" customWidth="1" min="19" max="19"/>
    <col width="60" customWidth="1" min="20" max="20"/>
  </cols>
  <sheetData>
    <row r="1">
      <c r="A1" s="1" t="inlineStr">
        <is>
          <t>Kivoa · Tabla de precios por país y canal (retrato enmarcado, Gelato estándar)</t>
        </is>
      </c>
    </row>
    <row r="2" ht="30" customHeight="1">
      <c r="A2" s="2" t="inlineStr">
        <is>
          <t>Amarillo/azul = datos que cambias tú. Negro = fórmulas. Costes de Gelato del 24/09/2026 para España y EE. UU. (captura del usuario, sin Gelato+, se toma el marco más caro de cada tamaño). Los demás países: rellena desde Gelato → 'Previsualiza tus costes para…'.</t>
        </is>
      </c>
    </row>
    <row r="4">
      <c r="A4" s="3" t="inlineStr">
        <is>
          <t>Parámetros globales</t>
        </is>
      </c>
    </row>
    <row r="5">
      <c r="A5" s="4" t="inlineStr">
        <is>
          <t>Margen objetivo antes de IRPF (sobre ingreso sin IVA)</t>
        </is>
      </c>
      <c r="B5" s="5" t="n">
        <v>0.2</v>
      </c>
      <c r="C5" s="6" t="inlineStr">
        <is>
          <t>Por debajo del 15–20 % cualquier imprevisto se come el beneficio.</t>
        </is>
      </c>
    </row>
    <row r="6">
      <c r="A6" s="4" t="inlineStr">
        <is>
          <t>Tipo efectivo IRPF estimado</t>
        </is>
      </c>
      <c r="B6" s="5" t="n">
        <v>0.2</v>
      </c>
      <c r="C6" s="6" t="inlineStr">
        <is>
          <t>Depende de tus otros ingresos. Pídelo a tu gestor.</t>
        </is>
      </c>
    </row>
    <row r="7">
      <c r="A7" s="4" t="inlineStr">
        <is>
          <t>Tipo de cambio: 1 USD = … EUR</t>
        </is>
      </c>
      <c r="B7" s="7" t="n">
        <v>0.86</v>
      </c>
      <c r="C7" s="6" t="inlineStr">
        <is>
          <t>SUPUESTO. Actualízalo el día que fijes precios.</t>
        </is>
      </c>
    </row>
    <row r="8">
      <c r="A8" s="4" t="inlineStr">
        <is>
          <t>Comisión fija pasarela por pedido (€)</t>
        </is>
      </c>
      <c r="B8" s="8" t="n">
        <v>0.25</v>
      </c>
      <c r="C8" s="6" t="inlineStr">
        <is>
          <t>Shopify Payments: revisa tu plan.</t>
        </is>
      </c>
    </row>
    <row r="10" ht="60" customHeight="1">
      <c r="A10" s="9" t="inlineStr">
        <is>
          <t>Canal / país</t>
        </is>
      </c>
      <c r="B10" s="9" t="inlineStr">
        <is>
          <t>Tamaño</t>
        </is>
      </c>
      <c r="C10" s="9" t="inlineStr">
        <is>
          <t>Coste producto Gelato (€ sin IVA)</t>
        </is>
      </c>
      <c r="D10" s="9" t="inlineStr">
        <is>
          <t>Envío Gelato (€)</t>
        </is>
      </c>
      <c r="E10" s="9" t="inlineStr">
        <is>
          <t>Coste total (€)</t>
        </is>
      </c>
      <c r="F10" s="9" t="inlineStr">
        <is>
          <t>PRECIO VENTA ACTUAL (€, con IVA si aplica)</t>
        </is>
      </c>
      <c r="G10" s="9" t="inlineStr">
        <is>
          <t>IVA del país (%)</t>
        </is>
      </c>
      <c r="H10" s="9" t="inlineStr">
        <is>
          <t>Ingreso sin IVA (€)</t>
        </is>
      </c>
      <c r="I10" s="9" t="inlineStr">
        <is>
          <t>IVA a pagar (€)</t>
        </is>
      </c>
      <c r="J10" s="9" t="inlineStr">
        <is>
          <t>Comisión % (pasarela / marketplace)</t>
        </is>
      </c>
      <c r="K10" s="9" t="inlineStr">
        <is>
          <t>Comisiones (€)</t>
        </is>
      </c>
      <c r="L10" s="9" t="inlineStr">
        <is>
          <t>Publicidad por pedido (€)</t>
        </is>
      </c>
      <c r="M10" s="9" t="inlineStr">
        <is>
          <t>Beneficio antes IRPF (€)</t>
        </is>
      </c>
      <c r="N10" s="9" t="inlineStr">
        <is>
          <t>IRPF (€)</t>
        </is>
      </c>
      <c r="O10" s="9" t="inlineStr">
        <is>
          <t>BENEFICIO NETO (€)</t>
        </is>
      </c>
      <c r="P10" s="9" t="inlineStr">
        <is>
          <t>Margen neto (%)</t>
        </is>
      </c>
      <c r="Q10" s="9" t="inlineStr">
        <is>
          <t>Precio mínimo para margen objetivo (€)</t>
        </is>
      </c>
      <c r="R10" s="9" t="inlineStr">
        <is>
          <t>PRECIO RECOMENDADO (€)</t>
        </is>
      </c>
      <c r="S10" s="9" t="inlineStr">
        <is>
          <t>Precio recomendado (US$)</t>
        </is>
      </c>
      <c r="T10" s="9" t="inlineStr">
        <is>
          <t>Nota</t>
        </is>
      </c>
    </row>
    <row r="11" ht="42" customHeight="1">
      <c r="A11" s="10" t="inlineStr">
        <is>
          <t>Web · España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2" t="inlineStr">
        <is>
          <t>Costes reales Gelato → España. IVA 21 %.</t>
        </is>
      </c>
    </row>
    <row r="12">
      <c r="A12" s="4" t="inlineStr">
        <is>
          <t>Web · España</t>
        </is>
      </c>
      <c r="B12" s="4" t="inlineStr">
        <is>
          <t>20×25 cm</t>
        </is>
      </c>
      <c r="C12" s="8" t="n">
        <v>13.32</v>
      </c>
      <c r="D12" s="8" t="n">
        <v>6.63</v>
      </c>
      <c r="E12" s="13">
        <f>IF(OR(C12="",D12=""),"",C12+D12)</f>
        <v/>
      </c>
      <c r="F12" s="8" t="n">
        <v>39.9</v>
      </c>
      <c r="G12" s="5" t="n">
        <v>0.21</v>
      </c>
      <c r="H12" s="13">
        <f>F12/(1+G12)</f>
        <v/>
      </c>
      <c r="I12" s="13">
        <f>F12-H12</f>
        <v/>
      </c>
      <c r="J12" s="5" t="n">
        <v>0.019</v>
      </c>
      <c r="K12" s="13">
        <f>F12*J12+$B$8</f>
        <v/>
      </c>
      <c r="L12" s="8" t="n">
        <v>12</v>
      </c>
      <c r="M12" s="13">
        <f>IF(E12="","",H12-E12-K12-L12)</f>
        <v/>
      </c>
      <c r="N12" s="13">
        <f>IF(M12="","",MAX(0,M12)*$B$6)</f>
        <v/>
      </c>
      <c r="O12" s="14">
        <f>IF(M12="","",M12-N12)</f>
        <v/>
      </c>
      <c r="P12" s="15">
        <f>IF(OR(M12="",H12=0),"",O12/H12)</f>
        <v/>
      </c>
      <c r="Q12" s="13">
        <f>IF(E12="","",(E12+$B$8+L12)/((1-$B$5)/(1+G12)-J12))</f>
        <v/>
      </c>
      <c r="R12" s="14">
        <f>IF(Q12="","",CEILING(Q12,5)-0.1)</f>
        <v/>
      </c>
      <c r="S12" s="16" t="n"/>
    </row>
    <row r="13">
      <c r="A13" s="4" t="inlineStr">
        <is>
          <t>Web · España</t>
        </is>
      </c>
      <c r="B13" s="4" t="inlineStr">
        <is>
          <t>30×40 cm</t>
        </is>
      </c>
      <c r="C13" s="8" t="n">
        <v>20.84</v>
      </c>
      <c r="D13" s="8" t="n">
        <v>6.63</v>
      </c>
      <c r="E13" s="13">
        <f>IF(OR(C13="",D13=""),"",C13+D13)</f>
        <v/>
      </c>
      <c r="F13" s="8" t="n">
        <v>59.9</v>
      </c>
      <c r="G13" s="5" t="n">
        <v>0.21</v>
      </c>
      <c r="H13" s="13">
        <f>F13/(1+G13)</f>
        <v/>
      </c>
      <c r="I13" s="13">
        <f>F13-H13</f>
        <v/>
      </c>
      <c r="J13" s="5" t="n">
        <v>0.019</v>
      </c>
      <c r="K13" s="13">
        <f>F13*J13+$B$8</f>
        <v/>
      </c>
      <c r="L13" s="8" t="n">
        <v>12</v>
      </c>
      <c r="M13" s="13">
        <f>IF(E13="","",H13-E13-K13-L13)</f>
        <v/>
      </c>
      <c r="N13" s="13">
        <f>IF(M13="","",MAX(0,M13)*$B$6)</f>
        <v/>
      </c>
      <c r="O13" s="14">
        <f>IF(M13="","",M13-N13)</f>
        <v/>
      </c>
      <c r="P13" s="15">
        <f>IF(OR(M13="",H13=0),"",O13/H13)</f>
        <v/>
      </c>
      <c r="Q13" s="13">
        <f>IF(E13="","",(E13+$B$8+L13)/((1-$B$5)/(1+G13)-J13))</f>
        <v/>
      </c>
      <c r="R13" s="14">
        <f>IF(Q13="","",CEILING(Q13,5)-0.1)</f>
        <v/>
      </c>
      <c r="S13" s="16" t="n"/>
    </row>
    <row r="14">
      <c r="A14" s="4" t="inlineStr">
        <is>
          <t>Web · España</t>
        </is>
      </c>
      <c r="B14" s="4" t="inlineStr">
        <is>
          <t>50×70 cm</t>
        </is>
      </c>
      <c r="C14" s="8" t="n">
        <v>41.39</v>
      </c>
      <c r="D14" s="8" t="n">
        <v>19.3</v>
      </c>
      <c r="E14" s="13">
        <f>IF(OR(C14="",D14=""),"",C14+D14)</f>
        <v/>
      </c>
      <c r="F14" s="8" t="n">
        <v>99.90000000000001</v>
      </c>
      <c r="G14" s="5" t="n">
        <v>0.21</v>
      </c>
      <c r="H14" s="13">
        <f>F14/(1+G14)</f>
        <v/>
      </c>
      <c r="I14" s="13">
        <f>F14-H14</f>
        <v/>
      </c>
      <c r="J14" s="5" t="n">
        <v>0.019</v>
      </c>
      <c r="K14" s="13">
        <f>F14*J14+$B$8</f>
        <v/>
      </c>
      <c r="L14" s="8" t="n">
        <v>12</v>
      </c>
      <c r="M14" s="13">
        <f>IF(E14="","",H14-E14-K14-L14)</f>
        <v/>
      </c>
      <c r="N14" s="13">
        <f>IF(M14="","",MAX(0,M14)*$B$6)</f>
        <v/>
      </c>
      <c r="O14" s="14">
        <f>IF(M14="","",M14-N14)</f>
        <v/>
      </c>
      <c r="P14" s="15">
        <f>IF(OR(M14="",H14=0),"",O14/H14)</f>
        <v/>
      </c>
      <c r="Q14" s="13">
        <f>IF(E14="","",(E14+$B$8+L14)/((1-$B$5)/(1+G14)-J14))</f>
        <v/>
      </c>
      <c r="R14" s="14">
        <f>IF(Q14="","",CEILING(Q14,5)-0.1)</f>
        <v/>
      </c>
      <c r="S14" s="16" t="n"/>
    </row>
    <row r="15" ht="42" customHeight="1">
      <c r="A15" s="10" t="inlineStr">
        <is>
          <t>Web · EE. UU.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2" t="inlineStr">
        <is>
          <t>Costes reales Gelato → EE. UU. Sin IVA; el sales tax se suma aparte. Comisión mayor por tarjeta extranjera + cambio de divisa.</t>
        </is>
      </c>
    </row>
    <row r="16">
      <c r="A16" s="4" t="inlineStr">
        <is>
          <t>Web · EE. UU.</t>
        </is>
      </c>
      <c r="B16" s="4" t="inlineStr">
        <is>
          <t>8×10"</t>
        </is>
      </c>
      <c r="C16" s="8" t="n">
        <v>17.7</v>
      </c>
      <c r="D16" s="8" t="n">
        <v>11.72</v>
      </c>
      <c r="E16" s="13">
        <f>IF(OR(C16="",D16=""),"",C16+D16)</f>
        <v/>
      </c>
      <c r="F16" s="8" t="n">
        <v>58.84</v>
      </c>
      <c r="G16" s="5" t="n">
        <v>0</v>
      </c>
      <c r="H16" s="13">
        <f>F16/(1+G16)</f>
        <v/>
      </c>
      <c r="I16" s="13">
        <f>F16-H16</f>
        <v/>
      </c>
      <c r="J16" s="5" t="n">
        <v>0.034</v>
      </c>
      <c r="K16" s="13">
        <f>F16*J16+$B$8</f>
        <v/>
      </c>
      <c r="L16" s="8" t="n">
        <v>15</v>
      </c>
      <c r="M16" s="13">
        <f>IF(E16="","",H16-E16-K16-L16)</f>
        <v/>
      </c>
      <c r="N16" s="13">
        <f>IF(M16="","",MAX(0,M16)*$B$6)</f>
        <v/>
      </c>
      <c r="O16" s="14">
        <f>IF(M16="","",M16-N16)</f>
        <v/>
      </c>
      <c r="P16" s="15">
        <f>IF(OR(M16="",H16=0),"",O16/H16)</f>
        <v/>
      </c>
      <c r="Q16" s="13">
        <f>IF(E16="","",(E16+$B$8+L16)/((1-$B$5)/(1+G16)-J16))</f>
        <v/>
      </c>
      <c r="R16" s="14">
        <f>IF(Q16="","",CEILING(Q16,5)-0.1)</f>
        <v/>
      </c>
      <c r="S16" s="16">
        <f>IF(Q16="","",CEILING(Q16/$B$7,10)-0.01)</f>
        <v/>
      </c>
    </row>
    <row r="17">
      <c r="A17" s="4" t="inlineStr">
        <is>
          <t>Web · EE. UU.</t>
        </is>
      </c>
      <c r="B17" s="4" t="inlineStr">
        <is>
          <t>12×16"</t>
        </is>
      </c>
      <c r="C17" s="8" t="n">
        <v>28.33</v>
      </c>
      <c r="D17" s="8" t="n">
        <v>11.72</v>
      </c>
      <c r="E17" s="13">
        <f>IF(OR(C17="",D17=""),"",C17+D17)</f>
        <v/>
      </c>
      <c r="F17" s="8" t="n">
        <v>80.09999999999999</v>
      </c>
      <c r="G17" s="5" t="n">
        <v>0</v>
      </c>
      <c r="H17" s="13">
        <f>F17/(1+G17)</f>
        <v/>
      </c>
      <c r="I17" s="13">
        <f>F17-H17</f>
        <v/>
      </c>
      <c r="J17" s="5" t="n">
        <v>0.034</v>
      </c>
      <c r="K17" s="13">
        <f>F17*J17+$B$8</f>
        <v/>
      </c>
      <c r="L17" s="8" t="n">
        <v>15</v>
      </c>
      <c r="M17" s="13">
        <f>IF(E17="","",H17-E17-K17-L17)</f>
        <v/>
      </c>
      <c r="N17" s="13">
        <f>IF(M17="","",MAX(0,M17)*$B$6)</f>
        <v/>
      </c>
      <c r="O17" s="14">
        <f>IF(M17="","",M17-N17)</f>
        <v/>
      </c>
      <c r="P17" s="15">
        <f>IF(OR(M17="",H17=0),"",O17/H17)</f>
        <v/>
      </c>
      <c r="Q17" s="13">
        <f>IF(E17="","",(E17+$B$8+L17)/((1-$B$5)/(1+G17)-J17))</f>
        <v/>
      </c>
      <c r="R17" s="14">
        <f>IF(Q17="","",CEILING(Q17,5)-0.1)</f>
        <v/>
      </c>
      <c r="S17" s="16">
        <f>IF(Q17="","",CEILING(Q17/$B$7,10)-0.01)</f>
        <v/>
      </c>
    </row>
    <row r="18">
      <c r="A18" s="4" t="inlineStr">
        <is>
          <t>Web · EE. UU.</t>
        </is>
      </c>
      <c r="B18" s="4" t="inlineStr">
        <is>
          <t>20×28"</t>
        </is>
      </c>
      <c r="C18" s="8" t="n">
        <v>49.8</v>
      </c>
      <c r="D18" s="8" t="n">
        <v>25.21</v>
      </c>
      <c r="E18" s="13">
        <f>IF(OR(C18="",D18=""),"",C18+D18)</f>
        <v/>
      </c>
      <c r="F18" s="8" t="n">
        <v>150.02</v>
      </c>
      <c r="G18" s="5" t="n">
        <v>0</v>
      </c>
      <c r="H18" s="13">
        <f>F18/(1+G18)</f>
        <v/>
      </c>
      <c r="I18" s="13">
        <f>F18-H18</f>
        <v/>
      </c>
      <c r="J18" s="5" t="n">
        <v>0.034</v>
      </c>
      <c r="K18" s="13">
        <f>F18*J18+$B$8</f>
        <v/>
      </c>
      <c r="L18" s="8" t="n">
        <v>15</v>
      </c>
      <c r="M18" s="13">
        <f>IF(E18="","",H18-E18-K18-L18)</f>
        <v/>
      </c>
      <c r="N18" s="13">
        <f>IF(M18="","",MAX(0,M18)*$B$6)</f>
        <v/>
      </c>
      <c r="O18" s="14">
        <f>IF(M18="","",M18-N18)</f>
        <v/>
      </c>
      <c r="P18" s="15">
        <f>IF(OR(M18="",H18=0),"",O18/H18)</f>
        <v/>
      </c>
      <c r="Q18" s="13">
        <f>IF(E18="","",(E18+$B$8+L18)/((1-$B$5)/(1+G18)-J18))</f>
        <v/>
      </c>
      <c r="R18" s="14">
        <f>IF(Q18="","",CEILING(Q18,5)-0.1)</f>
        <v/>
      </c>
      <c r="S18" s="16">
        <f>IF(Q18="","",CEILING(Q18/$B$7,10)-0.01)</f>
        <v/>
      </c>
    </row>
    <row r="19" ht="42" customHeight="1">
      <c r="A19" s="10" t="inlineStr">
        <is>
          <t>Etsy · España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2" t="inlineStr">
        <is>
          <t>Etsy: 6,5 % transacción + 4 % pago + 0,72 % tasa regulatoria (España). Además 0,20 $ por anuncio (incluido en el fijo). Sin publicidad propia: Etsy trae el tráfico. Si activas Offsite Ads, suma 15 %.</t>
        </is>
      </c>
    </row>
    <row r="20">
      <c r="A20" s="4" t="inlineStr">
        <is>
          <t>Etsy · España</t>
        </is>
      </c>
      <c r="B20" s="4" t="inlineStr">
        <is>
          <t>20×25 cm</t>
        </is>
      </c>
      <c r="C20" s="8" t="n">
        <v>13.32</v>
      </c>
      <c r="D20" s="8" t="n">
        <v>6.63</v>
      </c>
      <c r="E20" s="13">
        <f>IF(OR(C20="",D20=""),"",C20+D20)</f>
        <v/>
      </c>
      <c r="F20" s="8" t="n">
        <v>39.9</v>
      </c>
      <c r="G20" s="5" t="n">
        <v>0.21</v>
      </c>
      <c r="H20" s="13">
        <f>F20/(1+G20)</f>
        <v/>
      </c>
      <c r="I20" s="13">
        <f>F20-H20</f>
        <v/>
      </c>
      <c r="J20" s="5" t="n">
        <v>0.1122</v>
      </c>
      <c r="K20" s="13">
        <f>F20*J20+($B$8+0.18)</f>
        <v/>
      </c>
      <c r="L20" s="8" t="n">
        <v>0</v>
      </c>
      <c r="M20" s="13">
        <f>IF(E20="","",H20-E20-K20-L20)</f>
        <v/>
      </c>
      <c r="N20" s="13">
        <f>IF(M20="","",MAX(0,M20)*$B$6)</f>
        <v/>
      </c>
      <c r="O20" s="14">
        <f>IF(M20="","",M20-N20)</f>
        <v/>
      </c>
      <c r="P20" s="15">
        <f>IF(OR(M20="",H20=0),"",O20/H20)</f>
        <v/>
      </c>
      <c r="Q20" s="13">
        <f>IF(E20="","",(E20+($B$8+0.18)+L20)/((1-$B$5)/(1+G20)-J20))</f>
        <v/>
      </c>
      <c r="R20" s="14">
        <f>IF(Q20="","",CEILING(Q20,5)-0.1)</f>
        <v/>
      </c>
      <c r="S20" s="16" t="n"/>
    </row>
    <row r="21">
      <c r="A21" s="4" t="inlineStr">
        <is>
          <t>Etsy · España</t>
        </is>
      </c>
      <c r="B21" s="4" t="inlineStr">
        <is>
          <t>30×40 cm</t>
        </is>
      </c>
      <c r="C21" s="8" t="n">
        <v>20.84</v>
      </c>
      <c r="D21" s="8" t="n">
        <v>6.63</v>
      </c>
      <c r="E21" s="13">
        <f>IF(OR(C21="",D21=""),"",C21+D21)</f>
        <v/>
      </c>
      <c r="F21" s="8" t="n">
        <v>59.9</v>
      </c>
      <c r="G21" s="5" t="n">
        <v>0.21</v>
      </c>
      <c r="H21" s="13">
        <f>F21/(1+G21)</f>
        <v/>
      </c>
      <c r="I21" s="13">
        <f>F21-H21</f>
        <v/>
      </c>
      <c r="J21" s="5" t="n">
        <v>0.1122</v>
      </c>
      <c r="K21" s="13">
        <f>F21*J21+($B$8+0.18)</f>
        <v/>
      </c>
      <c r="L21" s="8" t="n">
        <v>0</v>
      </c>
      <c r="M21" s="13">
        <f>IF(E21="","",H21-E21-K21-L21)</f>
        <v/>
      </c>
      <c r="N21" s="13">
        <f>IF(M21="","",MAX(0,M21)*$B$6)</f>
        <v/>
      </c>
      <c r="O21" s="14">
        <f>IF(M21="","",M21-N21)</f>
        <v/>
      </c>
      <c r="P21" s="15">
        <f>IF(OR(M21="",H21=0),"",O21/H21)</f>
        <v/>
      </c>
      <c r="Q21" s="13">
        <f>IF(E21="","",(E21+($B$8+0.18)+L21)/((1-$B$5)/(1+G21)-J21))</f>
        <v/>
      </c>
      <c r="R21" s="14">
        <f>IF(Q21="","",CEILING(Q21,5)-0.1)</f>
        <v/>
      </c>
      <c r="S21" s="16" t="n"/>
    </row>
    <row r="22">
      <c r="A22" s="4" t="inlineStr">
        <is>
          <t>Etsy · España</t>
        </is>
      </c>
      <c r="B22" s="4" t="inlineStr">
        <is>
          <t>50×70 cm</t>
        </is>
      </c>
      <c r="C22" s="8" t="n">
        <v>41.39</v>
      </c>
      <c r="D22" s="8" t="n">
        <v>19.3</v>
      </c>
      <c r="E22" s="13">
        <f>IF(OR(C22="",D22=""),"",C22+D22)</f>
        <v/>
      </c>
      <c r="F22" s="8" t="n">
        <v>99.90000000000001</v>
      </c>
      <c r="G22" s="5" t="n">
        <v>0.21</v>
      </c>
      <c r="H22" s="13">
        <f>F22/(1+G22)</f>
        <v/>
      </c>
      <c r="I22" s="13">
        <f>F22-H22</f>
        <v/>
      </c>
      <c r="J22" s="5" t="n">
        <v>0.1122</v>
      </c>
      <c r="K22" s="13">
        <f>F22*J22+($B$8+0.18)</f>
        <v/>
      </c>
      <c r="L22" s="8" t="n">
        <v>0</v>
      </c>
      <c r="M22" s="13">
        <f>IF(E22="","",H22-E22-K22-L22)</f>
        <v/>
      </c>
      <c r="N22" s="13">
        <f>IF(M22="","",MAX(0,M22)*$B$6)</f>
        <v/>
      </c>
      <c r="O22" s="14">
        <f>IF(M22="","",M22-N22)</f>
        <v/>
      </c>
      <c r="P22" s="15">
        <f>IF(OR(M22="",H22=0),"",O22/H22)</f>
        <v/>
      </c>
      <c r="Q22" s="13">
        <f>IF(E22="","",(E22+($B$8+0.18)+L22)/((1-$B$5)/(1+G22)-J22))</f>
        <v/>
      </c>
      <c r="R22" s="14">
        <f>IF(Q22="","",CEILING(Q22,5)-0.1)</f>
        <v/>
      </c>
      <c r="S22" s="16" t="n"/>
    </row>
    <row r="23" ht="42" customHeight="1">
      <c r="A23" s="10" t="inlineStr">
        <is>
          <t>Etsy · EE. UU.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2" t="inlineStr">
        <is>
          <t>Igual que Etsy España. En EE. UU., Etsy cobra y paga el sales tax por ti.</t>
        </is>
      </c>
    </row>
    <row r="24">
      <c r="A24" s="4" t="inlineStr">
        <is>
          <t>Etsy · EE. UU.</t>
        </is>
      </c>
      <c r="B24" s="4" t="inlineStr">
        <is>
          <t>8×10"</t>
        </is>
      </c>
      <c r="C24" s="8" t="n">
        <v>17.7</v>
      </c>
      <c r="D24" s="8" t="n">
        <v>11.72</v>
      </c>
      <c r="E24" s="13">
        <f>IF(OR(C24="",D24=""),"",C24+D24)</f>
        <v/>
      </c>
      <c r="F24" s="8" t="n">
        <v>58.84</v>
      </c>
      <c r="G24" s="5" t="n">
        <v>0</v>
      </c>
      <c r="H24" s="13">
        <f>F24/(1+G24)</f>
        <v/>
      </c>
      <c r="I24" s="13">
        <f>F24-H24</f>
        <v/>
      </c>
      <c r="J24" s="5" t="n">
        <v>0.1122</v>
      </c>
      <c r="K24" s="13">
        <f>F24*J24+($B$8+0.18)</f>
        <v/>
      </c>
      <c r="L24" s="8" t="n">
        <v>0</v>
      </c>
      <c r="M24" s="13">
        <f>IF(E24="","",H24-E24-K24-L24)</f>
        <v/>
      </c>
      <c r="N24" s="13">
        <f>IF(M24="","",MAX(0,M24)*$B$6)</f>
        <v/>
      </c>
      <c r="O24" s="14">
        <f>IF(M24="","",M24-N24)</f>
        <v/>
      </c>
      <c r="P24" s="15">
        <f>IF(OR(M24="",H24=0),"",O24/H24)</f>
        <v/>
      </c>
      <c r="Q24" s="13">
        <f>IF(E24="","",(E24+($B$8+0.18)+L24)/((1-$B$5)/(1+G24)-J24))</f>
        <v/>
      </c>
      <c r="R24" s="14">
        <f>IF(Q24="","",CEILING(Q24,5)-0.1)</f>
        <v/>
      </c>
      <c r="S24" s="16">
        <f>IF(Q24="","",CEILING(Q24/$B$7,10)-0.01)</f>
        <v/>
      </c>
    </row>
    <row r="25">
      <c r="A25" s="4" t="inlineStr">
        <is>
          <t>Etsy · EE. UU.</t>
        </is>
      </c>
      <c r="B25" s="4" t="inlineStr">
        <is>
          <t>12×16"</t>
        </is>
      </c>
      <c r="C25" s="8" t="n">
        <v>28.33</v>
      </c>
      <c r="D25" s="8" t="n">
        <v>11.72</v>
      </c>
      <c r="E25" s="13">
        <f>IF(OR(C25="",D25=""),"",C25+D25)</f>
        <v/>
      </c>
      <c r="F25" s="8" t="n">
        <v>80.09999999999999</v>
      </c>
      <c r="G25" s="5" t="n">
        <v>0</v>
      </c>
      <c r="H25" s="13">
        <f>F25/(1+G25)</f>
        <v/>
      </c>
      <c r="I25" s="13">
        <f>F25-H25</f>
        <v/>
      </c>
      <c r="J25" s="5" t="n">
        <v>0.1122</v>
      </c>
      <c r="K25" s="13">
        <f>F25*J25+($B$8+0.18)</f>
        <v/>
      </c>
      <c r="L25" s="8" t="n">
        <v>0</v>
      </c>
      <c r="M25" s="13">
        <f>IF(E25="","",H25-E25-K25-L25)</f>
        <v/>
      </c>
      <c r="N25" s="13">
        <f>IF(M25="","",MAX(0,M25)*$B$6)</f>
        <v/>
      </c>
      <c r="O25" s="14">
        <f>IF(M25="","",M25-N25)</f>
        <v/>
      </c>
      <c r="P25" s="15">
        <f>IF(OR(M25="",H25=0),"",O25/H25)</f>
        <v/>
      </c>
      <c r="Q25" s="13">
        <f>IF(E25="","",(E25+($B$8+0.18)+L25)/((1-$B$5)/(1+G25)-J25))</f>
        <v/>
      </c>
      <c r="R25" s="14">
        <f>IF(Q25="","",CEILING(Q25,5)-0.1)</f>
        <v/>
      </c>
      <c r="S25" s="16">
        <f>IF(Q25="","",CEILING(Q25/$B$7,10)-0.01)</f>
        <v/>
      </c>
    </row>
    <row r="26">
      <c r="A26" s="4" t="inlineStr">
        <is>
          <t>Etsy · EE. UU.</t>
        </is>
      </c>
      <c r="B26" s="4" t="inlineStr">
        <is>
          <t>20×28"</t>
        </is>
      </c>
      <c r="C26" s="8" t="n">
        <v>49.8</v>
      </c>
      <c r="D26" s="8" t="n">
        <v>25.21</v>
      </c>
      <c r="E26" s="13">
        <f>IF(OR(C26="",D26=""),"",C26+D26)</f>
        <v/>
      </c>
      <c r="F26" s="8" t="n">
        <v>150.02</v>
      </c>
      <c r="G26" s="5" t="n">
        <v>0</v>
      </c>
      <c r="H26" s="13">
        <f>F26/(1+G26)</f>
        <v/>
      </c>
      <c r="I26" s="13">
        <f>F26-H26</f>
        <v/>
      </c>
      <c r="J26" s="5" t="n">
        <v>0.1122</v>
      </c>
      <c r="K26" s="13">
        <f>F26*J26+($B$8+0.18)</f>
        <v/>
      </c>
      <c r="L26" s="8" t="n">
        <v>0</v>
      </c>
      <c r="M26" s="13">
        <f>IF(E26="","",H26-E26-K26-L26)</f>
        <v/>
      </c>
      <c r="N26" s="13">
        <f>IF(M26="","",MAX(0,M26)*$B$6)</f>
        <v/>
      </c>
      <c r="O26" s="14">
        <f>IF(M26="","",M26-N26)</f>
        <v/>
      </c>
      <c r="P26" s="15">
        <f>IF(OR(M26="",H26=0),"",O26/H26)</f>
        <v/>
      </c>
      <c r="Q26" s="13">
        <f>IF(E26="","",(E26+($B$8+0.18)+L26)/((1-$B$5)/(1+G26)-J26))</f>
        <v/>
      </c>
      <c r="R26" s="14">
        <f>IF(Q26="","",CEILING(Q26,5)-0.1)</f>
        <v/>
      </c>
      <c r="S26" s="16">
        <f>IF(Q26="","",CEILING(Q26/$B$7,10)-0.01)</f>
        <v/>
      </c>
    </row>
    <row r="27" ht="42" customHeight="1">
      <c r="A27" s="10" t="inlineStr">
        <is>
          <t>Web · Alemania</t>
        </is>
      </c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2" t="inlineStr">
        <is>
          <t>RELLENA costes Gelato → Alemania. IVA 19 % (aplica cuando superes 10.000 €/año de ventas a otros países UE; hasta entonces, 21 % español).</t>
        </is>
      </c>
    </row>
    <row r="28">
      <c r="A28" s="4" t="inlineStr">
        <is>
          <t>Web · Alemania</t>
        </is>
      </c>
      <c r="B28" s="4" t="inlineStr">
        <is>
          <t>20×25 cm</t>
        </is>
      </c>
      <c r="C28" s="8" t="n"/>
      <c r="D28" s="8" t="n"/>
      <c r="E28" s="13">
        <f>IF(OR(C28="",D28=""),"",C28+D28)</f>
        <v/>
      </c>
      <c r="F28" s="8" t="n">
        <v>59.9</v>
      </c>
      <c r="G28" s="5" t="n">
        <v>0.19</v>
      </c>
      <c r="H28" s="13">
        <f>F28/(1+G28)</f>
        <v/>
      </c>
      <c r="I28" s="13">
        <f>F28-H28</f>
        <v/>
      </c>
      <c r="J28" s="5" t="n">
        <v>0.019</v>
      </c>
      <c r="K28" s="13">
        <f>F28*J28+$B$8</f>
        <v/>
      </c>
      <c r="L28" s="8" t="n">
        <v>12</v>
      </c>
      <c r="M28" s="13">
        <f>IF(E28="","",H28-E28-K28-L28)</f>
        <v/>
      </c>
      <c r="N28" s="13">
        <f>IF(M28="","",MAX(0,M28)*$B$6)</f>
        <v/>
      </c>
      <c r="O28" s="14">
        <f>IF(M28="","",M28-N28)</f>
        <v/>
      </c>
      <c r="P28" s="15">
        <f>IF(OR(M28="",H28=0),"",O28/H28)</f>
        <v/>
      </c>
      <c r="Q28" s="13">
        <f>IF(E28="","",(E28+$B$8+L28)/((1-$B$5)/(1+G28)-J28))</f>
        <v/>
      </c>
      <c r="R28" s="14">
        <f>IF(Q28="","",CEILING(Q28,5)-0.1)</f>
        <v/>
      </c>
      <c r="S28" s="16" t="n"/>
    </row>
    <row r="29">
      <c r="A29" s="4" t="inlineStr">
        <is>
          <t>Web · Alemania</t>
        </is>
      </c>
      <c r="B29" s="4" t="inlineStr">
        <is>
          <t>30×40 cm</t>
        </is>
      </c>
      <c r="C29" s="8" t="n"/>
      <c r="D29" s="8" t="n"/>
      <c r="E29" s="13">
        <f>IF(OR(C29="",D29=""),"",C29+D29)</f>
        <v/>
      </c>
      <c r="F29" s="8" t="n">
        <v>74.90000000000001</v>
      </c>
      <c r="G29" s="5" t="n">
        <v>0.19</v>
      </c>
      <c r="H29" s="13">
        <f>F29/(1+G29)</f>
        <v/>
      </c>
      <c r="I29" s="13">
        <f>F29-H29</f>
        <v/>
      </c>
      <c r="J29" s="5" t="n">
        <v>0.019</v>
      </c>
      <c r="K29" s="13">
        <f>F29*J29+$B$8</f>
        <v/>
      </c>
      <c r="L29" s="8" t="n">
        <v>12</v>
      </c>
      <c r="M29" s="13">
        <f>IF(E29="","",H29-E29-K29-L29)</f>
        <v/>
      </c>
      <c r="N29" s="13">
        <f>IF(M29="","",MAX(0,M29)*$B$6)</f>
        <v/>
      </c>
      <c r="O29" s="14">
        <f>IF(M29="","",M29-N29)</f>
        <v/>
      </c>
      <c r="P29" s="15">
        <f>IF(OR(M29="",H29=0),"",O29/H29)</f>
        <v/>
      </c>
      <c r="Q29" s="13">
        <f>IF(E29="","",(E29+$B$8+L29)/((1-$B$5)/(1+G29)-J29))</f>
        <v/>
      </c>
      <c r="R29" s="14">
        <f>IF(Q29="","",CEILING(Q29,5)-0.1)</f>
        <v/>
      </c>
      <c r="S29" s="16" t="n"/>
    </row>
    <row r="30">
      <c r="A30" s="4" t="inlineStr">
        <is>
          <t>Web · Alemania</t>
        </is>
      </c>
      <c r="B30" s="4" t="inlineStr">
        <is>
          <t>50×70 cm</t>
        </is>
      </c>
      <c r="C30" s="8" t="n"/>
      <c r="D30" s="8" t="n"/>
      <c r="E30" s="13">
        <f>IF(OR(C30="",D30=""),"",C30+D30)</f>
        <v/>
      </c>
      <c r="F30" s="8" t="n">
        <v>119.9</v>
      </c>
      <c r="G30" s="5" t="n">
        <v>0.19</v>
      </c>
      <c r="H30" s="13">
        <f>F30/(1+G30)</f>
        <v/>
      </c>
      <c r="I30" s="13">
        <f>F30-H30</f>
        <v/>
      </c>
      <c r="J30" s="5" t="n">
        <v>0.019</v>
      </c>
      <c r="K30" s="13">
        <f>F30*J30+$B$8</f>
        <v/>
      </c>
      <c r="L30" s="8" t="n">
        <v>12</v>
      </c>
      <c r="M30" s="13">
        <f>IF(E30="","",H30-E30-K30-L30)</f>
        <v/>
      </c>
      <c r="N30" s="13">
        <f>IF(M30="","",MAX(0,M30)*$B$6)</f>
        <v/>
      </c>
      <c r="O30" s="14">
        <f>IF(M30="","",M30-N30)</f>
        <v/>
      </c>
      <c r="P30" s="15">
        <f>IF(OR(M30="",H30=0),"",O30/H30)</f>
        <v/>
      </c>
      <c r="Q30" s="13">
        <f>IF(E30="","",(E30+$B$8+L30)/((1-$B$5)/(1+G30)-J30))</f>
        <v/>
      </c>
      <c r="R30" s="14">
        <f>IF(Q30="","",CEILING(Q30,5)-0.1)</f>
        <v/>
      </c>
      <c r="S30" s="16" t="n"/>
    </row>
    <row r="31" ht="42" customHeight="1">
      <c r="A31" s="10" t="inlineStr">
        <is>
          <t>Web · Francia</t>
        </is>
      </c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2" t="inlineStr">
        <is>
          <t>RELLENA costes Gelato → Francia. IVA 20 % (misma regla de los 10.000 €).</t>
        </is>
      </c>
    </row>
    <row r="32">
      <c r="A32" s="4" t="inlineStr">
        <is>
          <t>Web · Francia</t>
        </is>
      </c>
      <c r="B32" s="4" t="inlineStr">
        <is>
          <t>20×25 cm</t>
        </is>
      </c>
      <c r="C32" s="8" t="n"/>
      <c r="D32" s="8" t="n"/>
      <c r="E32" s="13">
        <f>IF(OR(C32="",D32=""),"",C32+D32)</f>
        <v/>
      </c>
      <c r="F32" s="8" t="n">
        <v>59.9</v>
      </c>
      <c r="G32" s="5" t="n">
        <v>0.2</v>
      </c>
      <c r="H32" s="13">
        <f>F32/(1+G32)</f>
        <v/>
      </c>
      <c r="I32" s="13">
        <f>F32-H32</f>
        <v/>
      </c>
      <c r="J32" s="5" t="n">
        <v>0.019</v>
      </c>
      <c r="K32" s="13">
        <f>F32*J32+$B$8</f>
        <v/>
      </c>
      <c r="L32" s="8" t="n">
        <v>12</v>
      </c>
      <c r="M32" s="13">
        <f>IF(E32="","",H32-E32-K32-L32)</f>
        <v/>
      </c>
      <c r="N32" s="13">
        <f>IF(M32="","",MAX(0,M32)*$B$6)</f>
        <v/>
      </c>
      <c r="O32" s="14">
        <f>IF(M32="","",M32-N32)</f>
        <v/>
      </c>
      <c r="P32" s="15">
        <f>IF(OR(M32="",H32=0),"",O32/H32)</f>
        <v/>
      </c>
      <c r="Q32" s="13">
        <f>IF(E32="","",(E32+$B$8+L32)/((1-$B$5)/(1+G32)-J32))</f>
        <v/>
      </c>
      <c r="R32" s="14">
        <f>IF(Q32="","",CEILING(Q32,5)-0.1)</f>
        <v/>
      </c>
      <c r="S32" s="16" t="n"/>
    </row>
    <row r="33">
      <c r="A33" s="4" t="inlineStr">
        <is>
          <t>Web · Francia</t>
        </is>
      </c>
      <c r="B33" s="4" t="inlineStr">
        <is>
          <t>30×40 cm</t>
        </is>
      </c>
      <c r="C33" s="8" t="n"/>
      <c r="D33" s="8" t="n"/>
      <c r="E33" s="13">
        <f>IF(OR(C33="",D33=""),"",C33+D33)</f>
        <v/>
      </c>
      <c r="F33" s="8" t="n">
        <v>74.90000000000001</v>
      </c>
      <c r="G33" s="5" t="n">
        <v>0.2</v>
      </c>
      <c r="H33" s="13">
        <f>F33/(1+G33)</f>
        <v/>
      </c>
      <c r="I33" s="13">
        <f>F33-H33</f>
        <v/>
      </c>
      <c r="J33" s="5" t="n">
        <v>0.019</v>
      </c>
      <c r="K33" s="13">
        <f>F33*J33+$B$8</f>
        <v/>
      </c>
      <c r="L33" s="8" t="n">
        <v>12</v>
      </c>
      <c r="M33" s="13">
        <f>IF(E33="","",H33-E33-K33-L33)</f>
        <v/>
      </c>
      <c r="N33" s="13">
        <f>IF(M33="","",MAX(0,M33)*$B$6)</f>
        <v/>
      </c>
      <c r="O33" s="14">
        <f>IF(M33="","",M33-N33)</f>
        <v/>
      </c>
      <c r="P33" s="15">
        <f>IF(OR(M33="",H33=0),"",O33/H33)</f>
        <v/>
      </c>
      <c r="Q33" s="13">
        <f>IF(E33="","",(E33+$B$8+L33)/((1-$B$5)/(1+G33)-J33))</f>
        <v/>
      </c>
      <c r="R33" s="14">
        <f>IF(Q33="","",CEILING(Q33,5)-0.1)</f>
        <v/>
      </c>
      <c r="S33" s="16" t="n"/>
    </row>
    <row r="34">
      <c r="A34" s="4" t="inlineStr">
        <is>
          <t>Web · Francia</t>
        </is>
      </c>
      <c r="B34" s="4" t="inlineStr">
        <is>
          <t>50×70 cm</t>
        </is>
      </c>
      <c r="C34" s="8" t="n"/>
      <c r="D34" s="8" t="n"/>
      <c r="E34" s="13">
        <f>IF(OR(C34="",D34=""),"",C34+D34)</f>
        <v/>
      </c>
      <c r="F34" s="8" t="n">
        <v>119.9</v>
      </c>
      <c r="G34" s="5" t="n">
        <v>0.2</v>
      </c>
      <c r="H34" s="13">
        <f>F34/(1+G34)</f>
        <v/>
      </c>
      <c r="I34" s="13">
        <f>F34-H34</f>
        <v/>
      </c>
      <c r="J34" s="5" t="n">
        <v>0.019</v>
      </c>
      <c r="K34" s="13">
        <f>F34*J34+$B$8</f>
        <v/>
      </c>
      <c r="L34" s="8" t="n">
        <v>12</v>
      </c>
      <c r="M34" s="13">
        <f>IF(E34="","",H34-E34-K34-L34)</f>
        <v/>
      </c>
      <c r="N34" s="13">
        <f>IF(M34="","",MAX(0,M34)*$B$6)</f>
        <v/>
      </c>
      <c r="O34" s="14">
        <f>IF(M34="","",M34-N34)</f>
        <v/>
      </c>
      <c r="P34" s="15">
        <f>IF(OR(M34="",H34=0),"",O34/H34)</f>
        <v/>
      </c>
      <c r="Q34" s="13">
        <f>IF(E34="","",(E34+$B$8+L34)/((1-$B$5)/(1+G34)-J34))</f>
        <v/>
      </c>
      <c r="R34" s="14">
        <f>IF(Q34="","",CEILING(Q34,5)-0.1)</f>
        <v/>
      </c>
      <c r="S34" s="16" t="n"/>
    </row>
    <row r="35" ht="42" customHeight="1">
      <c r="A35" s="10" t="inlineStr">
        <is>
          <t>Web · Italia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2" t="inlineStr">
        <is>
          <t>RELLENA costes Gelato → Italia. IVA 22 % (misma regla de los 10.000 €).</t>
        </is>
      </c>
    </row>
    <row r="36">
      <c r="A36" s="4" t="inlineStr">
        <is>
          <t>Web · Italia</t>
        </is>
      </c>
      <c r="B36" s="4" t="inlineStr">
        <is>
          <t>20×25 cm</t>
        </is>
      </c>
      <c r="C36" s="8" t="n"/>
      <c r="D36" s="8" t="n"/>
      <c r="E36" s="13">
        <f>IF(OR(C36="",D36=""),"",C36+D36)</f>
        <v/>
      </c>
      <c r="F36" s="8" t="n">
        <v>59.9</v>
      </c>
      <c r="G36" s="5" t="n">
        <v>0.22</v>
      </c>
      <c r="H36" s="13">
        <f>F36/(1+G36)</f>
        <v/>
      </c>
      <c r="I36" s="13">
        <f>F36-H36</f>
        <v/>
      </c>
      <c r="J36" s="5" t="n">
        <v>0.019</v>
      </c>
      <c r="K36" s="13">
        <f>F36*J36+$B$8</f>
        <v/>
      </c>
      <c r="L36" s="8" t="n">
        <v>12</v>
      </c>
      <c r="M36" s="13">
        <f>IF(E36="","",H36-E36-K36-L36)</f>
        <v/>
      </c>
      <c r="N36" s="13">
        <f>IF(M36="","",MAX(0,M36)*$B$6)</f>
        <v/>
      </c>
      <c r="O36" s="14">
        <f>IF(M36="","",M36-N36)</f>
        <v/>
      </c>
      <c r="P36" s="15">
        <f>IF(OR(M36="",H36=0),"",O36/H36)</f>
        <v/>
      </c>
      <c r="Q36" s="13">
        <f>IF(E36="","",(E36+$B$8+L36)/((1-$B$5)/(1+G36)-J36))</f>
        <v/>
      </c>
      <c r="R36" s="14">
        <f>IF(Q36="","",CEILING(Q36,5)-0.1)</f>
        <v/>
      </c>
      <c r="S36" s="16" t="n"/>
    </row>
    <row r="37">
      <c r="A37" s="4" t="inlineStr">
        <is>
          <t>Web · Italia</t>
        </is>
      </c>
      <c r="B37" s="4" t="inlineStr">
        <is>
          <t>30×40 cm</t>
        </is>
      </c>
      <c r="C37" s="8" t="n"/>
      <c r="D37" s="8" t="n"/>
      <c r="E37" s="13">
        <f>IF(OR(C37="",D37=""),"",C37+D37)</f>
        <v/>
      </c>
      <c r="F37" s="8" t="n">
        <v>74.90000000000001</v>
      </c>
      <c r="G37" s="5" t="n">
        <v>0.22</v>
      </c>
      <c r="H37" s="13">
        <f>F37/(1+G37)</f>
        <v/>
      </c>
      <c r="I37" s="13">
        <f>F37-H37</f>
        <v/>
      </c>
      <c r="J37" s="5" t="n">
        <v>0.019</v>
      </c>
      <c r="K37" s="13">
        <f>F37*J37+$B$8</f>
        <v/>
      </c>
      <c r="L37" s="8" t="n">
        <v>12</v>
      </c>
      <c r="M37" s="13">
        <f>IF(E37="","",H37-E37-K37-L37)</f>
        <v/>
      </c>
      <c r="N37" s="13">
        <f>IF(M37="","",MAX(0,M37)*$B$6)</f>
        <v/>
      </c>
      <c r="O37" s="14">
        <f>IF(M37="","",M37-N37)</f>
        <v/>
      </c>
      <c r="P37" s="15">
        <f>IF(OR(M37="",H37=0),"",O37/H37)</f>
        <v/>
      </c>
      <c r="Q37" s="13">
        <f>IF(E37="","",(E37+$B$8+L37)/((1-$B$5)/(1+G37)-J37))</f>
        <v/>
      </c>
      <c r="R37" s="14">
        <f>IF(Q37="","",CEILING(Q37,5)-0.1)</f>
        <v/>
      </c>
      <c r="S37" s="16" t="n"/>
    </row>
    <row r="38">
      <c r="A38" s="4" t="inlineStr">
        <is>
          <t>Web · Italia</t>
        </is>
      </c>
      <c r="B38" s="4" t="inlineStr">
        <is>
          <t>50×70 cm</t>
        </is>
      </c>
      <c r="C38" s="8" t="n"/>
      <c r="D38" s="8" t="n"/>
      <c r="E38" s="13">
        <f>IF(OR(C38="",D38=""),"",C38+D38)</f>
        <v/>
      </c>
      <c r="F38" s="8" t="n">
        <v>119.9</v>
      </c>
      <c r="G38" s="5" t="n">
        <v>0.22</v>
      </c>
      <c r="H38" s="13">
        <f>F38/(1+G38)</f>
        <v/>
      </c>
      <c r="I38" s="13">
        <f>F38-H38</f>
        <v/>
      </c>
      <c r="J38" s="5" t="n">
        <v>0.019</v>
      </c>
      <c r="K38" s="13">
        <f>F38*J38+$B$8</f>
        <v/>
      </c>
      <c r="L38" s="8" t="n">
        <v>12</v>
      </c>
      <c r="M38" s="13">
        <f>IF(E38="","",H38-E38-K38-L38)</f>
        <v/>
      </c>
      <c r="N38" s="13">
        <f>IF(M38="","",MAX(0,M38)*$B$6)</f>
        <v/>
      </c>
      <c r="O38" s="14">
        <f>IF(M38="","",M38-N38)</f>
        <v/>
      </c>
      <c r="P38" s="15">
        <f>IF(OR(M38="",H38=0),"",O38/H38)</f>
        <v/>
      </c>
      <c r="Q38" s="13">
        <f>IF(E38="","",(E38+$B$8+L38)/((1-$B$5)/(1+G38)-J38))</f>
        <v/>
      </c>
      <c r="R38" s="14">
        <f>IF(Q38="","",CEILING(Q38,5)-0.1)</f>
        <v/>
      </c>
      <c r="S38" s="16" t="n"/>
    </row>
  </sheetData>
  <mergeCells count="1"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7" t="inlineStr">
        <is>
          <t>CÓMO SE CALCULA (por pedido)</t>
        </is>
      </c>
    </row>
    <row r="2">
      <c r="A2" s="18" t="inlineStr">
        <is>
          <t>1. Ingreso sin IVA = precio ÷ (1 + IVA). En EE. UU. el IVA es 0: el precio es ingreso íntegro.</t>
        </is>
      </c>
    </row>
    <row r="3">
      <c r="A3" s="18" t="inlineStr">
        <is>
          <t>2. Beneficio antes de IRPF = ingreso sin IVA − (producto + envío Gelato) − comisiones − publicidad por pedido.</t>
        </is>
      </c>
    </row>
    <row r="4">
      <c r="A4" s="18" t="inlineStr">
        <is>
          <t>3. IRPF = beneficio × tu tipo efectivo. Beneficio neto = lo que te queda de verdad.</t>
        </is>
      </c>
    </row>
    <row r="5">
      <c r="A5" s="18" t="inlineStr">
        <is>
          <t>4. Precio mínimo = (coste total + comisión fija + publicidad) ÷ [(1 − margen objetivo) ÷ (1 + IVA) − % comisión].</t>
        </is>
      </c>
    </row>
    <row r="6">
      <c r="A6" s="18" t="inlineStr">
        <is>
          <t>5. Precio recomendado = precio mínimo redondeado hacia arriba a un precio comercial (…4,90 / …9,90 € y …9,99 $).</t>
        </is>
      </c>
    </row>
    <row r="7">
      <c r="A7" s="18" t="inlineStr"/>
    </row>
    <row r="8">
      <c r="A8" s="17" t="inlineStr">
        <is>
          <t>POR QUÉ NO FIARTE DEL 'BENEFICIO ESTIMADO' DE GELATO</t>
        </is>
      </c>
    </row>
    <row r="9">
      <c r="A9" s="18" t="inlineStr">
        <is>
          <t>• Gelato NO descuenta el IVA: en España, de un cuadro de 39,90 €, 6,92 € son de Hacienda, no tuyos.</t>
        </is>
      </c>
    </row>
    <row r="10">
      <c r="A10" s="18" t="inlineStr">
        <is>
          <t>• En tu captura de España tenías DESMARCADO 'Incluir el costo de envío': por eso te salía un 66 % de margen. Con IVA y envío, el 20×25 a 39,90 € deja 13 € antes de comisiones y publicidad.</t>
        </is>
      </c>
    </row>
    <row r="11">
      <c r="A11" s="18" t="inlineStr">
        <is>
          <t>• Tampoco incluye comisiones de pago, publicidad, reimpresiones ni tu IRPF.</t>
        </is>
      </c>
    </row>
    <row r="12">
      <c r="A12" s="18" t="inlineStr"/>
    </row>
    <row r="13">
      <c r="A13" s="17" t="inlineStr">
        <is>
          <t>LECTURA RÁPIDA DE TUS PRECIOS ACTUALES (con 12 € de publicidad por pedido)</t>
        </is>
      </c>
    </row>
    <row r="14">
      <c r="A14" s="18" t="inlineStr">
        <is>
          <t>• 20×25 a 39,90 €: beneficio prácticamente 0. Súbelo o úsalo solo como producto de entrada sin anuncios (Etsy).</t>
        </is>
      </c>
    </row>
    <row r="15">
      <c r="A15" s="18" t="inlineStr">
        <is>
          <t>• 50×70 a 99,90 €: el envío de 19,30 € se come el margen. Necesita rondar 115 €.</t>
        </is>
      </c>
    </row>
    <row r="16">
      <c r="A16" s="18" t="inlineStr">
        <is>
          <t>• Etsy sin publicidad es el canal más rentable al principio, pese a su comisión del 11 %.</t>
        </is>
      </c>
    </row>
    <row r="17">
      <c r="A17" s="18" t="inlineStr"/>
    </row>
    <row r="18">
      <c r="A18" s="17" t="inlineStr">
        <is>
          <t>AVISOS</t>
        </is>
      </c>
    </row>
    <row r="19">
      <c r="A19" s="18" t="inlineStr">
        <is>
          <t>• Costes de Gelato sin IVA: si eres autónomo en régimen general, el IVA que te cobra Gelato es deducible. Pregunta a tu gestor si en tu caso aplicaría el recargo de equivalencia (comercio minorista), porque cambia este cálculo.</t>
        </is>
      </c>
    </row>
    <row r="20">
      <c r="A20" s="18" t="inlineStr">
        <is>
          <t>• Otros países de la UE: hasta 10.000 €/año de ventas a otros países UE se aplica el IVA español (21 %). Por encima, el del país del cliente vía OSS.</t>
        </is>
      </c>
    </row>
    <row r="21">
      <c r="A21" s="18" t="inlineStr">
        <is>
          <t>• Reino Unido: vender allí puede obligarte a registrarte en el IVA británico desde la primera venta. No lo actives sin gestor.</t>
        </is>
      </c>
    </row>
    <row r="22">
      <c r="A22" s="18" t="inlineStr">
        <is>
          <t>• Publicidad por pedido: es el dato que más cambia. Actualízalo cada mes con lo que realmente gastas ÷ pedidos.</t>
        </is>
      </c>
    </row>
    <row r="23">
      <c r="A23" s="18" t="inlineStr">
        <is>
          <t>• Esto no es asesoramiento fiscal: valida IRPF, IVA y OSS con tu gestor.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2026-09-24T15:14:43Z</dcterms:created>
  <dcterms:modified xsi:type="dcterms:W3CDTF">2026-09-24T15:14:43Z</dcterms:modified>
</cp:coreProperties>
</file>